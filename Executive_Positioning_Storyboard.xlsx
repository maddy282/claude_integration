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Storyboard" sheetId="2" state="visible" r:id="rId4"/>
    <sheet name="Self-Check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<sst xmlns="http://schemas.openxmlformats.org/spreadsheetml/2006/main" count="75" uniqueCount="66">
  <si>
    <t xml:space="preserve">EXECUTIVE POSITIONING STORYBOARD</t>
  </si>
  <si>
    <t xml:space="preserve">Board / CDO-Level Readiness Template</t>
  </si>
  <si>
    <t xml:space="preserve">PURPOSE</t>
  </si>
  <si>
    <t xml:space="preserve">Pre-build your answer material for "why should the board trust you" style questions, organized by distinct dimension so your points stop overlapping.</t>
  </si>
  <si>
    <t xml:space="preserve">HOW TO USE</t>
  </si>
  <si>
    <t xml:space="preserve">1. Storyboard tab: fill in the yellow cells in the 'Your Answer' column for each of the three dimensions.</t>
  </si>
  <si>
    <t xml:space="preserve">2. The 'One-breath sentence' row builds itself from your answers (placeholders show until you fill them in).</t>
  </si>
  <si>
    <t xml:space="preserve">3. The grey 'Example' column shows the expected level of detail — illustrative only, replace with your own material.</t>
  </si>
  <si>
    <t xml:space="preserve">4. Self-Check tab: answer Yes / No for each point before you use it. Aim for 5/5 on every dimension.</t>
  </si>
  <si>
    <t xml:space="preserve">5. Notes tab: brainstorm raw material freely before fitting it into the structure.</t>
  </si>
  <si>
    <t xml:space="preserve">LEGEND</t>
  </si>
  <si>
    <t xml:space="preserve">Yellow = cell for you to fill in</t>
  </si>
  <si>
    <t xml:space="preserve">Grey = illustrative example (not your data)</t>
  </si>
  <si>
    <t xml:space="preserve">Blue = auto-generated by formula — do not edit</t>
  </si>
  <si>
    <t xml:space="preserve">Fill in the yellow cells. Sentences in blue build automatically.</t>
  </si>
  <si>
    <t xml:space="preserve">DIMENSION 1: EXECUTION &amp; ROI (your speed/delivery engine)</t>
  </si>
  <si>
    <t xml:space="preserve">Core claim: "I execute fast, under real constraint."</t>
  </si>
  <si>
    <t xml:space="preserve">Fill in</t>
  </si>
  <si>
    <t xml:space="preserve">Your Answer</t>
  </si>
  <si>
    <t xml:space="preserve">Example (illustrative)</t>
  </si>
  <si>
    <t xml:space="preserve">Program / project name</t>
  </si>
  <si>
    <t xml:space="preserve">Global data platform migration</t>
  </si>
  <si>
    <t xml:space="preserve">What was the result (numbers)</t>
  </si>
  <si>
    <t xml:space="preserve">a migration of 40 TB / 300 pipelines in 7 months</t>
  </si>
  <si>
    <t xml:space="preserve">Industry or internal benchmark to compare against</t>
  </si>
  <si>
    <t xml:space="preserve">18-month industry-average</t>
  </si>
  <si>
    <t xml:space="preserve">The specific mechanism that got you there (scope cut, parallelization, reuse, buy-vs-build)</t>
  </si>
  <si>
    <t xml:space="preserve">cutting 30% of low-value scope and running three migration waves in parallel</t>
  </si>
  <si>
    <t xml:space="preserve">One-breath sentence (auto)</t>
  </si>
  <si>
    <t xml:space="preserve">DIMENSION 2: RISK JUDGMENT (your filter before execution)</t>
  </si>
  <si>
    <t xml:space="preserve">Core claim: "I know when to say no, even without final authority."</t>
  </si>
  <si>
    <t xml:space="preserve">Situation where a flashier/riskier option was on the table</t>
  </si>
  <si>
    <t xml:space="preserve">a full custom-built ML platform</t>
  </si>
  <si>
    <t xml:space="preserve">What you recommended instead, and why</t>
  </si>
  <si>
    <t xml:space="preserve">a managed vendor platform (avoiding an 18-month build and key-person risk)</t>
  </si>
  <si>
    <t xml:space="preserve">Did you have final say? If not, how was your call later validated</t>
  </si>
  <si>
    <t xml:space="preserve">No — CIO decided; a peer firm's custom build later failed audit</t>
  </si>
  <si>
    <t xml:space="preserve">The outcome that proved the judgment right</t>
  </si>
  <si>
    <t xml:space="preserve">we went live in 4 months and passed the regulatory review first time</t>
  </si>
  <si>
    <t xml:space="preserve">Note: keep this DISTINCT from Dimension 1. Dimension 1 = did it fast. Dimension 2 = chose not to do the risky thing at all, or flagged it before it became a problem.</t>
  </si>
  <si>
    <t xml:space="preserve">DIMENSION 3: STRATEGIC TRANSLATION (technical-to-board bridge)</t>
  </si>
  <si>
    <t xml:space="preserve">Core claim: "I turn technical complexity into something a non-technical board can act on."</t>
  </si>
  <si>
    <t xml:space="preserve">A technical decision you made</t>
  </si>
  <si>
    <t xml:space="preserve">Consolidating 12 data warehouses into one lakehouse</t>
  </si>
  <si>
    <t xml:space="preserve">How you explained it in board/business terms (enterprise value, North Star, risk, growth)</t>
  </si>
  <si>
    <t xml:space="preserve">the board gets one version of customer truth, with fewer reporting disputes and lower audit risk</t>
  </si>
  <si>
    <t xml:space="preserve">The business outcome it was tied to</t>
  </si>
  <si>
    <t xml:space="preserve">a $4M annual run-rate saving and 2-day faster month-end close</t>
  </si>
  <si>
    <t xml:space="preserve">QUICK SELF-CHECK BEFORE YOU USE A POINT</t>
  </si>
  <si>
    <t xml:space="preserve">Select Yes / No in the yellow cells for each dimension. Score updates automatically.</t>
  </si>
  <si>
    <t xml:space="preserve">Check</t>
  </si>
  <si>
    <t xml:space="preserve">D1: Execution &amp; ROI</t>
  </si>
  <si>
    <t xml:space="preserve">D2: Risk Judgment</t>
  </si>
  <si>
    <t xml:space="preserve">D3: Strategic Translation</t>
  </si>
  <si>
    <t xml:space="preserve">Does this point have a number?</t>
  </si>
  <si>
    <t xml:space="preserve">Does it have a benchmark or comparison, not just a raw figure?</t>
  </si>
  <si>
    <t xml:space="preserve">Is the "how" (the actual decision/trade-off) included, not just effort language ("worked hard," "pushed through")?</t>
  </si>
  <si>
    <t xml:space="preserve">Does it avoid overlapping with your other two points?</t>
  </si>
  <si>
    <t xml:space="preserve">Would a board member hear "I execute well" vs. "I decide well" vs. "I translate well" as three clearly different things?</t>
  </si>
  <si>
    <t xml:space="preserve">Score (out of 5)</t>
  </si>
  <si>
    <t xml:space="preserve">Status</t>
  </si>
  <si>
    <t xml:space="preserve">NOTES / WORKING AREA</t>
  </si>
  <si>
    <t xml:space="preserve">Use this space freely to brainstorm raw material before fitting it into the structure.</t>
  </si>
  <si>
    <t xml:space="preserve">#</t>
  </si>
  <si>
    <t xml:space="preserve">Likely dimension</t>
  </si>
  <si>
    <t xml:space="preserve">Raw idea / story /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</si>
</sst>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5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7" t="s">
        <v>12</v>
      </c>
    </row>
    <row r="17" customFormat="false" ht="15" hidden="false" customHeight="false" outlineLevel="0" collapsed="false">
      <c r="A17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9" t="s">
        <v>0</v>
      </c>
    </row>
    <row r="2" customFormat="false" ht="15" hidden="false" customHeight="false" outlineLevel="0" collapsed="false">
      <c r="A2" s="10" t="s">
        <v>14</v>
      </c>
    </row>
    <row r="4" customFormat="false" ht="15" hidden="false" customHeight="false" outlineLevel="0" collapsed="false">
      <c r="A4" s="11" t="s">
        <v>15</v>
      </c>
      <c r="B4" s="11"/>
      <c r="C4" s="11"/>
    </row>
    <row r="5" customFormat="false" ht="15" hidden="false" customHeight="false" outlineLevel="0" collapsed="false">
      <c r="A5" s="12" t="s">
        <v>16</v>
      </c>
      <c r="B5" s="12"/>
      <c r="C5" s="12"/>
    </row>
    <row r="6" customFormat="false" ht="15" hidden="false" customHeight="false" outlineLevel="0" collapsed="false">
      <c r="A6" s="13" t="s">
        <v>17</v>
      </c>
      <c r="B6" s="13" t="s">
        <v>18</v>
      </c>
      <c r="C6" s="13" t="s">
        <v>19</v>
      </c>
    </row>
    <row r="7" customFormat="false" ht="31.5" hidden="false" customHeight="true" outlineLevel="0" collapsed="false">
      <c r="A7" s="14" t="s">
        <v>20</v>
      </c>
      <c r="B7" s="15"/>
      <c r="C7" s="16" t="s">
        <v>21</v>
      </c>
    </row>
    <row r="8" customFormat="false" ht="31.5" hidden="false" customHeight="true" outlineLevel="0" collapsed="false">
      <c r="A8" s="14" t="s">
        <v>22</v>
      </c>
      <c r="B8" s="15"/>
      <c r="C8" s="16" t="s">
        <v>23</v>
      </c>
    </row>
    <row r="9" customFormat="false" ht="31.5" hidden="false" customHeight="true" outlineLevel="0" collapsed="false">
      <c r="A9" s="14" t="s">
        <v>24</v>
      </c>
      <c r="B9" s="15"/>
      <c r="C9" s="16" t="s">
        <v>25</v>
      </c>
    </row>
    <row r="10" customFormat="false" ht="31.5" hidden="false" customHeight="true" outlineLevel="0" collapsed="false">
      <c r="A10" s="14" t="s">
        <v>26</v>
      </c>
      <c r="B10" s="15"/>
      <c r="C10" s="16" t="s">
        <v>27</v>
      </c>
    </row>
    <row r="11" customFormat="false" ht="60" hidden="false" customHeight="true" outlineLevel="0" collapsed="false">
      <c r="A11" s="17" t="s">
        <v>28</v>
      </c>
      <c r="B11" s="18" t="str">
        <f aca="false">"Delivered "&amp;IF(B8="","[RESULT]",B8)&amp;" against a "&amp;IF(B9="","[BENCHMARK]",B9)&amp;" baseline, by "&amp;IF(B10="","[MECHANISM]",B10)&amp;"."</f>
        <v>Delivered [RESULT] against a [BENCHMARK] baseline, by [MECHANISM].</v>
      </c>
      <c r="C11" s="19" t="str">
        <f aca="false">"Delivered "&amp;C8&amp;" against a "&amp;C9&amp;" baseline, by "&amp;C10&amp;"."</f>
        <v>Delivered a migration of 40 TB / 300 pipelines in 7 months against a 18-month industry-average baseline, by cutting 30% of low-value scope and running three migration waves in parallel.</v>
      </c>
    </row>
    <row r="13" customFormat="false" ht="15" hidden="false" customHeight="false" outlineLevel="0" collapsed="false">
      <c r="A13" s="11" t="s">
        <v>29</v>
      </c>
      <c r="B13" s="11"/>
      <c r="C13" s="11"/>
    </row>
    <row r="14" customFormat="false" ht="15" hidden="false" customHeight="false" outlineLevel="0" collapsed="false">
      <c r="A14" s="12" t="s">
        <v>30</v>
      </c>
      <c r="B14" s="12"/>
      <c r="C14" s="12"/>
    </row>
    <row r="15" customFormat="false" ht="15" hidden="false" customHeight="false" outlineLevel="0" collapsed="false">
      <c r="A15" s="13" t="s">
        <v>17</v>
      </c>
      <c r="B15" s="13" t="s">
        <v>18</v>
      </c>
      <c r="C15" s="13" t="s">
        <v>19</v>
      </c>
    </row>
    <row r="16" customFormat="false" ht="31.5" hidden="false" customHeight="true" outlineLevel="0" collapsed="false">
      <c r="A16" s="14" t="s">
        <v>31</v>
      </c>
      <c r="B16" s="15"/>
      <c r="C16" s="16" t="s">
        <v>32</v>
      </c>
    </row>
    <row r="17" customFormat="false" ht="31.5" hidden="false" customHeight="true" outlineLevel="0" collapsed="false">
      <c r="A17" s="14" t="s">
        <v>33</v>
      </c>
      <c r="B17" s="15"/>
      <c r="C17" s="16" t="s">
        <v>34</v>
      </c>
    </row>
    <row r="18" customFormat="false" ht="31.5" hidden="false" customHeight="true" outlineLevel="0" collapsed="false">
      <c r="A18" s="14" t="s">
        <v>35</v>
      </c>
      <c r="B18" s="15"/>
      <c r="C18" s="16" t="s">
        <v>36</v>
      </c>
    </row>
    <row r="19" customFormat="false" ht="31.5" hidden="false" customHeight="true" outlineLevel="0" collapsed="false">
      <c r="A19" s="14" t="s">
        <v>37</v>
      </c>
      <c r="B19" s="15"/>
      <c r="C19" s="16" t="s">
        <v>38</v>
      </c>
    </row>
    <row r="20" customFormat="false" ht="60" hidden="false" customHeight="true" outlineLevel="0" collapsed="false">
      <c r="A20" s="17" t="s">
        <v>28</v>
      </c>
      <c r="B20" s="18" t="str">
        <f aca="false">"When the team considered "&amp;IF(B16="","[FLASHY OPTION]",B16)&amp;", I recommended "&amp;IF(B17="","[YOUR CALL]",B17)&amp;" instead — "&amp;IF(B19="","[OUTCOME/VALIDATION]",B19)&amp;"."</f>
        <v>When the team considered [FLASHY OPTION], I recommended [YOUR CALL] instead — [OUTCOME/VALIDATION].</v>
      </c>
      <c r="C20" s="19" t="str">
        <f aca="false">"When the team considered "&amp;C16&amp;", I recommended "&amp;C17&amp;" instead — "&amp;C19&amp;"."</f>
        <v>When the team considered a full custom-built ML platform, I recommended a managed vendor platform (avoiding an 18-month build and key-person risk) instead — we went live in 4 months and passed the regulatory review first time.</v>
      </c>
    </row>
    <row r="21" customFormat="false" ht="27.75" hidden="false" customHeight="true" outlineLevel="0" collapsed="false">
      <c r="A21" s="20" t="s">
        <v>39</v>
      </c>
      <c r="B21" s="20"/>
      <c r="C21" s="20"/>
    </row>
    <row r="23" customFormat="false" ht="15" hidden="false" customHeight="false" outlineLevel="0" collapsed="false">
      <c r="A23" s="11" t="s">
        <v>40</v>
      </c>
      <c r="B23" s="11"/>
      <c r="C23" s="11"/>
    </row>
    <row r="24" customFormat="false" ht="15" hidden="false" customHeight="false" outlineLevel="0" collapsed="false">
      <c r="A24" s="12" t="s">
        <v>41</v>
      </c>
      <c r="B24" s="12"/>
      <c r="C24" s="12"/>
    </row>
    <row r="25" customFormat="false" ht="15" hidden="false" customHeight="false" outlineLevel="0" collapsed="false">
      <c r="A25" s="13" t="s">
        <v>17</v>
      </c>
      <c r="B25" s="13" t="s">
        <v>18</v>
      </c>
      <c r="C25" s="13" t="s">
        <v>19</v>
      </c>
    </row>
    <row r="26" customFormat="false" ht="31.5" hidden="false" customHeight="true" outlineLevel="0" collapsed="false">
      <c r="A26" s="14" t="s">
        <v>42</v>
      </c>
      <c r="B26" s="15"/>
      <c r="C26" s="16" t="s">
        <v>43</v>
      </c>
    </row>
    <row r="27" customFormat="false" ht="31.5" hidden="false" customHeight="true" outlineLevel="0" collapsed="false">
      <c r="A27" s="14" t="s">
        <v>44</v>
      </c>
      <c r="B27" s="15"/>
      <c r="C27" s="16" t="s">
        <v>45</v>
      </c>
    </row>
    <row r="28" customFormat="false" ht="31.5" hidden="false" customHeight="true" outlineLevel="0" collapsed="false">
      <c r="A28" s="14" t="s">
        <v>46</v>
      </c>
      <c r="B28" s="15"/>
      <c r="C28" s="16" t="s">
        <v>47</v>
      </c>
    </row>
    <row r="29" customFormat="false" ht="60" hidden="false" customHeight="true" outlineLevel="0" collapsed="false">
      <c r="A29" s="17" t="s">
        <v>28</v>
      </c>
      <c r="B29" s="18" t="str">
        <f aca="false">IF(B26="","[TECHNICAL DECISION]",B26)&amp;" translated into "&amp;IF(B28="","[BUSINESS OUTCOME]",B28)&amp;", because "&amp;IF(B27="","[WHY THE BOARD SHOULD CARE]",B27)&amp;"."</f>
        <v>[TECHNICAL DECISION] translated into [BUSINESS OUTCOME], because [WHY THE BOARD SHOULD CARE].</v>
      </c>
      <c r="C29" s="19" t="str">
        <f aca="false">C26&amp;" translated into "&amp;C28&amp;", because "&amp;C27&amp;"."</f>
        <v>Consolidating 12 data warehouses into one lakehouse translated into a $4M annual run-rate saving and 2-day faster month-end close, because the board gets one version of customer truth, with fewer reporting disputes and lower audit risk.</v>
      </c>
    </row>
  </sheetData>
  <mergeCells count="7">
    <mergeCell ref="A4:C4"/>
    <mergeCell ref="A5:C5"/>
    <mergeCell ref="A13:C13"/>
    <mergeCell ref="A14:C14"/>
    <mergeCell ref="A21:C21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9" t="s">
        <v>48</v>
      </c>
    </row>
    <row r="2" customFormat="false" ht="15" hidden="false" customHeight="false" outlineLevel="0" collapsed="false">
      <c r="A2" s="10" t="s">
        <v>49</v>
      </c>
    </row>
    <row r="4" customFormat="false" ht="23.85" hidden="false" customHeight="false" outlineLevel="0" collapsed="false">
      <c r="A4" s="21" t="s">
        <v>50</v>
      </c>
      <c r="B4" s="22" t="s">
        <v>51</v>
      </c>
      <c r="C4" s="22" t="s">
        <v>52</v>
      </c>
      <c r="D4" s="22" t="s">
        <v>53</v>
      </c>
    </row>
    <row r="5" customFormat="false" ht="30" hidden="false" customHeight="true" outlineLevel="0" collapsed="false">
      <c r="A5" s="14" t="s">
        <v>54</v>
      </c>
      <c r="B5" s="23"/>
      <c r="C5" s="23"/>
      <c r="D5" s="23"/>
    </row>
    <row r="6" customFormat="false" ht="30" hidden="false" customHeight="true" outlineLevel="0" collapsed="false">
      <c r="A6" s="14" t="s">
        <v>55</v>
      </c>
      <c r="B6" s="23"/>
      <c r="C6" s="23"/>
      <c r="D6" s="23"/>
    </row>
    <row r="7" customFormat="false" ht="30" hidden="false" customHeight="true" outlineLevel="0" collapsed="false">
      <c r="A7" s="14" t="s">
        <v>56</v>
      </c>
      <c r="B7" s="23"/>
      <c r="C7" s="23"/>
      <c r="D7" s="23"/>
    </row>
    <row r="8" customFormat="false" ht="30" hidden="false" customHeight="true" outlineLevel="0" collapsed="false">
      <c r="A8" s="14" t="s">
        <v>57</v>
      </c>
      <c r="B8" s="23"/>
      <c r="C8" s="23"/>
      <c r="D8" s="23"/>
    </row>
    <row r="9" customFormat="false" ht="30" hidden="false" customHeight="true" outlineLevel="0" collapsed="false">
      <c r="A9" s="14" t="s">
        <v>58</v>
      </c>
      <c r="B9" s="23"/>
      <c r="C9" s="23"/>
      <c r="D9" s="23"/>
    </row>
    <row r="10" customFormat="false" ht="15" hidden="false" customHeight="false" outlineLevel="0" collapsed="false">
      <c r="A10" s="24" t="s">
        <v>59</v>
      </c>
      <c r="B10" s="25" t="str">
        <f aca="false">COUNTIF(B5:B9,"Yes")&amp;" / 5"</f>
        <v>0 / 5</v>
      </c>
      <c r="C10" s="25" t="str">
        <f aca="false">COUNTIF(C5:C9,"Yes")&amp;" / 5"</f>
        <v>0 / 5</v>
      </c>
      <c r="D10" s="25" t="str">
        <f aca="false">COUNTIF(D5:D9,"Yes")&amp;" / 5"</f>
        <v>0 / 5</v>
      </c>
    </row>
    <row r="11" customFormat="false" ht="15" hidden="false" customHeight="false" outlineLevel="0" collapsed="false">
      <c r="A11" s="24" t="s">
        <v>60</v>
      </c>
      <c r="B11" s="25" t="str">
        <f aca="false">IF(COUNTIF(B5:B9,"Yes")=5,"Ready",IF(COUNTA(B5:B9)=0,"Not started","Needs work"))</f>
        <v>Not started</v>
      </c>
      <c r="C11" s="25" t="str">
        <f aca="false">IF(COUNTIF(C5:C9,"Yes")=5,"Ready",IF(COUNTA(C5:C9)=0,"Not started","Needs work"))</f>
        <v>Not started</v>
      </c>
      <c r="D11" s="25" t="str">
        <f aca="false">IF(COUNTIF(D5:D9,"Yes")=5,"Ready",IF(COUNTA(D5:D9)=0,"Not started","Needs work"))</f>
        <v>Not started</v>
      </c>
    </row>
  </sheetData>
  <conditionalFormatting sqref="B5:D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B11:D11">
    <cfRule type="cellIs" priority="4" operator="equal" aboveAverage="0" equalAverage="0" bottom="0" percent="0" rank="0" text="" dxfId="2">
      <formula>"Ready"</formula>
    </cfRule>
    <cfRule type="cellIs" priority="5" operator="equal" aboveAverage="0" equalAverage="0" bottom="0" percent="0" rank="0" text="" dxfId="3">
      <formula>"Needs work"</formula>
    </cfRule>
  </conditionalFormatting>
  <dataValidations count="1">
    <dataValidation allowBlank="true" errorStyle="stop" operator="between" showDropDown="false" showErrorMessage="false" showInputMessage="false" sqref="B5:D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9" t="s">
        <v>61</v>
      </c>
    </row>
    <row r="2" customFormat="false" ht="15" hidden="false" customHeight="false" outlineLevel="0" collapsed="false">
      <c r="A2" s="10" t="s">
        <v>62</v>
      </c>
    </row>
    <row r="4" customFormat="false" ht="15" hidden="false" customHeight="false" outlineLevel="0" collapsed="false">
      <c r="A4" s="26" t="s">
        <v>63</v>
      </c>
      <c r="B4" s="26" t="s">
        <v>64</v>
      </c>
      <c r="C4" s="26" t="s">
        <v>65</v>
      </c>
    </row>
    <row r="5" customFormat="false" ht="21.75" hidden="false" customHeight="true" outlineLevel="0" collapsed="false">
      <c r="A5" s="27" t="n">
        <v>1</v>
      </c>
      <c r="B5" s="6"/>
      <c r="C5" s="6"/>
    </row>
    <row r="6" customFormat="false" ht="21.75" hidden="false" customHeight="true" outlineLevel="0" collapsed="false">
      <c r="A6" s="27" t="n">
        <v>2</v>
      </c>
      <c r="B6" s="6"/>
      <c r="C6" s="6"/>
    </row>
    <row r="7" customFormat="false" ht="21.75" hidden="false" customHeight="true" outlineLevel="0" collapsed="false">
      <c r="A7" s="27" t="n">
        <v>3</v>
      </c>
      <c r="B7" s="6"/>
      <c r="C7" s="6"/>
    </row>
    <row r="8" customFormat="false" ht="21.75" hidden="false" customHeight="true" outlineLevel="0" collapsed="false">
      <c r="A8" s="27" t="n">
        <v>4</v>
      </c>
      <c r="B8" s="6"/>
      <c r="C8" s="6"/>
    </row>
    <row r="9" customFormat="false" ht="21.75" hidden="false" customHeight="true" outlineLevel="0" collapsed="false">
      <c r="A9" s="27" t="n">
        <v>5</v>
      </c>
      <c r="B9" s="6"/>
      <c r="C9" s="6"/>
    </row>
    <row r="10" customFormat="false" ht="21.75" hidden="false" customHeight="true" outlineLevel="0" collapsed="false">
      <c r="A10" s="27" t="n">
        <v>6</v>
      </c>
      <c r="B10" s="6"/>
      <c r="C10" s="6"/>
    </row>
    <row r="11" customFormat="false" ht="21.75" hidden="false" customHeight="true" outlineLevel="0" collapsed="false">
      <c r="A11" s="27" t="n">
        <v>7</v>
      </c>
      <c r="B11" s="6"/>
      <c r="C11" s="6"/>
    </row>
    <row r="12" customFormat="false" ht="21.75" hidden="false" customHeight="true" outlineLevel="0" collapsed="false">
      <c r="A12" s="27" t="n">
        <v>8</v>
      </c>
      <c r="B12" s="6"/>
      <c r="C12" s="6"/>
    </row>
    <row r="13" customFormat="false" ht="21.75" hidden="false" customHeight="true" outlineLevel="0" collapsed="false">
      <c r="A13" s="27" t="n">
        <v>9</v>
      </c>
      <c r="B13" s="6"/>
      <c r="C13" s="6"/>
    </row>
    <row r="14" customFormat="false" ht="21.75" hidden="false" customHeight="true" outlineLevel="0" collapsed="false">
      <c r="A14" s="27" t="n">
        <v>10</v>
      </c>
      <c r="B14" s="6"/>
      <c r="C14" s="6"/>
    </row>
    <row r="15" customFormat="false" ht="21.75" hidden="false" customHeight="true" outlineLevel="0" collapsed="false">
      <c r="A15" s="27" t="n">
        <v>11</v>
      </c>
      <c r="B15" s="6"/>
      <c r="C15" s="6"/>
    </row>
    <row r="16" customFormat="false" ht="21.75" hidden="false" customHeight="true" outlineLevel="0" collapsed="false">
      <c r="A16" s="27" t="n">
        <v>12</v>
      </c>
      <c r="B16" s="6"/>
      <c r="C16" s="6"/>
    </row>
    <row r="17" customFormat="false" ht="21.75" hidden="false" customHeight="true" outlineLevel="0" collapsed="false">
      <c r="A17" s="27" t="n">
        <v>13</v>
      </c>
      <c r="B17" s="6"/>
      <c r="C17" s="6"/>
    </row>
    <row r="18" customFormat="false" ht="21.75" hidden="false" customHeight="true" outlineLevel="0" collapsed="false">
      <c r="A18" s="27" t="n">
        <v>14</v>
      </c>
      <c r="B18" s="6"/>
      <c r="C18" s="6"/>
    </row>
    <row r="19" customFormat="false" ht="21.75" hidden="false" customHeight="true" outlineLevel="0" collapsed="false">
      <c r="A19" s="27" t="n">
        <v>15</v>
      </c>
      <c r="B19" s="6"/>
      <c r="C19" s="6"/>
    </row>
    <row r="20" customFormat="false" ht="21.75" hidden="false" customHeight="true" outlineLevel="0" collapsed="false">
      <c r="A20" s="27" t="n">
        <v>16</v>
      </c>
      <c r="B20" s="6"/>
      <c r="C20" s="6"/>
    </row>
    <row r="21" customFormat="false" ht="21.75" hidden="false" customHeight="true" outlineLevel="0" collapsed="false">
      <c r="A21" s="27" t="n">
        <v>17</v>
      </c>
      <c r="B21" s="6"/>
      <c r="C21" s="6"/>
    </row>
    <row r="22" customFormat="false" ht="21.75" hidden="false" customHeight="true" outlineLevel="0" collapsed="false">
      <c r="A22" s="27" t="n">
        <v>18</v>
      </c>
      <c r="B22" s="6"/>
      <c r="C22" s="6"/>
    </row>
    <row r="23" customFormat="false" ht="21.75" hidden="false" customHeight="true" outlineLevel="0" collapsed="false">
      <c r="A23" s="27" t="n">
        <v>19</v>
      </c>
      <c r="B23" s="6"/>
      <c r="C23" s="6"/>
    </row>
    <row r="24" customFormat="false" ht="21.75" hidden="false" customHeight="true" outlineLevel="0" collapsed="false">
      <c r="A24" s="27" t="n">
        <v>20</v>
      </c>
      <c r="B24" s="6"/>
      <c r="C24" s="6"/>
    </row>
    <row r="25" customFormat="false" ht="21.75" hidden="false" customHeight="true" outlineLevel="0" collapsed="false">
      <c r="A25" s="27" t="n">
        <v>21</v>
      </c>
      <c r="B25" s="6"/>
      <c r="C25" s="6"/>
    </row>
    <row r="26" customFormat="false" ht="21.75" hidden="false" customHeight="true" outlineLevel="0" collapsed="false">
      <c r="A26" s="27" t="n">
        <v>22</v>
      </c>
      <c r="B26" s="6"/>
      <c r="C26" s="6"/>
    </row>
    <row r="27" customFormat="false" ht="21.75" hidden="false" customHeight="true" outlineLevel="0" collapsed="false">
      <c r="A27" s="27" t="n">
        <v>23</v>
      </c>
      <c r="B27" s="6"/>
      <c r="C27" s="6"/>
    </row>
    <row r="28" customFormat="false" ht="21.75" hidden="false" customHeight="true" outlineLevel="0" collapsed="false">
      <c r="A28" s="27" t="n">
        <v>24</v>
      </c>
      <c r="B28" s="6"/>
      <c r="C28" s="6"/>
    </row>
    <row r="29" customFormat="false" ht="21.75" hidden="false" customHeight="true" outlineLevel="0" collapsed="false">
      <c r="A29" s="27" t="n">
        <v>25</v>
      </c>
      <c r="B29" s="6"/>
      <c r="C29" s="6"/>
    </row>
  </sheetData>
  <dataValidations count="1">
    <dataValidation allowBlank="true" errorStyle="stop" operator="between" showDropDown="false" showErrorMessage="false" showInputMessage="false" sqref="B5:B29" type="list">
      <formula1>"D1 Execution,D2 Risk,D3 Translation,Unassigned"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2026-10-11T05:37:36Z</dcterms:created>
  <dc:creator>openpyxl</dc:creator>
  <dc:description/>
  <dc:language>en-US</dc:language>
  <cp:lastModifiedBy/>
  <dcterms:modified xsi:type="dcterms:W3CDTF">2026-10-11T05:37:36Z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